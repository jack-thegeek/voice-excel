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972" tabRatio="600" firstSheet="0" activeTab="0" autoFilterDateGrouping="1"/>
  </bookViews>
  <sheets>
    <sheet name="班级成绩登记表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4">
    <font>
      <name val="宋体"/>
      <charset val="134"/>
      <sz val="12"/>
    </font>
    <font>
      <name val="宋体"/>
      <charset val="134"/>
      <sz val="14"/>
    </font>
    <font>
      <name val="宋体"/>
      <charset val="134"/>
      <sz val="10"/>
    </font>
    <font>
      <name val="宋体"/>
      <charset val="134"/>
      <color theme="1"/>
      <sz val="11"/>
      <scheme val="minor"/>
    </font>
    <font>
      <name val="宋体"/>
      <charset val="134"/>
      <color theme="2" tint="-0.899990844447157"/>
      <sz val="10"/>
    </font>
    <font>
      <name val="宋体"/>
      <charset val="134"/>
      <color indexed="8"/>
      <sz val="11"/>
    </font>
    <font>
      <name val="宋体"/>
      <charset val="134"/>
      <b val="1"/>
      <color indexed="56"/>
      <sz val="11"/>
    </font>
    <font>
      <name val="宋体"/>
      <charset val="134"/>
      <color indexed="9"/>
      <sz val="11"/>
    </font>
    <font>
      <name val="宋体"/>
      <charset val="134"/>
      <color indexed="10"/>
      <sz val="11"/>
    </font>
    <font>
      <name val="宋体"/>
      <charset val="134"/>
      <b val="1"/>
      <color indexed="56"/>
      <sz val="18"/>
    </font>
    <font>
      <name val="宋体"/>
      <charset val="134"/>
      <b val="1"/>
      <color indexed="63"/>
      <sz val="11"/>
    </font>
    <font>
      <name val="宋体"/>
      <charset val="134"/>
      <color indexed="20"/>
      <sz val="11"/>
      <u val="single"/>
    </font>
    <font>
      <name val="宋体"/>
      <charset val="134"/>
      <b val="1"/>
      <color indexed="56"/>
      <sz val="13"/>
    </font>
    <font>
      <name val="宋体"/>
      <charset val="134"/>
      <color indexed="12"/>
      <sz val="11"/>
      <u val="single"/>
    </font>
    <font>
      <name val="宋体"/>
      <charset val="134"/>
      <b val="1"/>
      <color indexed="9"/>
      <sz val="11"/>
    </font>
    <font>
      <name val="宋体"/>
      <charset val="134"/>
      <color indexed="20"/>
      <sz val="11"/>
    </font>
    <font>
      <name val="宋体"/>
      <charset val="134"/>
      <color indexed="60"/>
      <sz val="11"/>
    </font>
    <font>
      <name val="宋体"/>
      <charset val="134"/>
      <color indexed="17"/>
      <sz val="11"/>
    </font>
    <font>
      <name val="宋体"/>
      <charset val="134"/>
      <i val="1"/>
      <color indexed="23"/>
      <sz val="11"/>
    </font>
    <font>
      <name val="宋体"/>
      <charset val="134"/>
      <b val="1"/>
      <color indexed="56"/>
      <sz val="15"/>
    </font>
    <font>
      <name val="宋体"/>
      <charset val="134"/>
      <color indexed="62"/>
      <sz val="11"/>
    </font>
    <font>
      <name val="宋体"/>
      <charset val="134"/>
      <b val="1"/>
      <color indexed="52"/>
      <sz val="11"/>
    </font>
    <font>
      <name val="宋体"/>
      <charset val="134"/>
      <b val="1"/>
      <color indexed="8"/>
      <sz val="11"/>
    </font>
    <font>
      <name val="宋体"/>
      <charset val="134"/>
      <color indexed="52"/>
      <sz val="11"/>
    </font>
  </fonts>
  <fills count="2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50">
    <xf numFmtId="0" fontId="0" fillId="0" borderId="0" applyAlignment="1">
      <alignment vertical="center"/>
    </xf>
    <xf numFmtId="0" fontId="5" fillId="0" borderId="0" applyAlignment="1">
      <alignment vertical="center"/>
    </xf>
    <xf numFmtId="0" fontId="7" fillId="24" borderId="0" applyAlignment="1">
      <alignment vertical="center"/>
    </xf>
    <xf numFmtId="0" fontId="5" fillId="11" borderId="0" applyAlignment="1">
      <alignment vertical="center"/>
    </xf>
    <xf numFmtId="0" fontId="7" fillId="8" borderId="0" applyAlignment="1">
      <alignment vertical="center"/>
    </xf>
    <xf numFmtId="0" fontId="20" fillId="10" borderId="13" applyAlignment="1">
      <alignment vertical="center"/>
    </xf>
    <xf numFmtId="0" fontId="5" fillId="6" borderId="0" applyAlignment="1">
      <alignment vertical="center"/>
    </xf>
    <xf numFmtId="0" fontId="5" fillId="18" borderId="0" applyAlignment="1">
      <alignment vertical="center"/>
    </xf>
    <xf numFmtId="44" fontId="0" fillId="0" borderId="0" applyAlignment="1">
      <alignment vertical="center"/>
    </xf>
    <xf numFmtId="0" fontId="7" fillId="17" borderId="0" applyAlignment="1">
      <alignment vertical="center"/>
    </xf>
    <xf numFmtId="9" fontId="0" fillId="0" borderId="0" applyAlignment="1">
      <alignment vertical="center"/>
    </xf>
    <xf numFmtId="0" fontId="7" fillId="7" borderId="0" applyAlignment="1">
      <alignment vertical="center"/>
    </xf>
    <xf numFmtId="0" fontId="7" fillId="14" borderId="0" applyAlignment="1">
      <alignment vertical="center"/>
    </xf>
    <xf numFmtId="0" fontId="7" fillId="21" borderId="0" applyAlignment="1">
      <alignment vertical="center"/>
    </xf>
    <xf numFmtId="0" fontId="7" fillId="23" borderId="0" applyAlignment="1">
      <alignment vertical="center"/>
    </xf>
    <xf numFmtId="0" fontId="7" fillId="8" borderId="0" applyAlignment="1">
      <alignment vertical="center"/>
    </xf>
    <xf numFmtId="0" fontId="21" fillId="9" borderId="13" applyAlignment="1">
      <alignment vertical="center"/>
    </xf>
    <xf numFmtId="0" fontId="7" fillId="19" borderId="0" applyAlignment="1">
      <alignment vertical="center"/>
    </xf>
    <xf numFmtId="0" fontId="16" fillId="16" borderId="0" applyAlignment="1">
      <alignment vertical="center"/>
    </xf>
    <xf numFmtId="0" fontId="5" fillId="15" borderId="0" applyAlignment="1">
      <alignment vertical="center"/>
    </xf>
    <xf numFmtId="0" fontId="17" fillId="18" borderId="0" applyAlignment="1">
      <alignment vertical="center"/>
    </xf>
    <xf numFmtId="0" fontId="5" fillId="20" borderId="0" applyAlignment="1">
      <alignment vertical="center"/>
    </xf>
    <xf numFmtId="0" fontId="22" fillId="0" borderId="14" applyAlignment="1">
      <alignment vertical="center"/>
    </xf>
    <xf numFmtId="0" fontId="15" fillId="12" borderId="0" applyAlignment="1">
      <alignment vertical="center"/>
    </xf>
    <xf numFmtId="0" fontId="14" fillId="13" borderId="11" applyAlignment="1">
      <alignment vertical="center"/>
    </xf>
    <xf numFmtId="0" fontId="10" fillId="9" borderId="9" applyAlignment="1">
      <alignment vertical="center"/>
    </xf>
    <xf numFmtId="0" fontId="19" fillId="0" borderId="12" applyAlignment="1">
      <alignment vertical="center"/>
    </xf>
    <xf numFmtId="0" fontId="18" fillId="0" borderId="0" applyAlignment="1">
      <alignment vertical="center"/>
    </xf>
    <xf numFmtId="0" fontId="5" fillId="12" borderId="0" applyAlignment="1">
      <alignment vertical="center"/>
    </xf>
    <xf numFmtId="0" fontId="6" fillId="0" borderId="0" applyAlignment="1">
      <alignment vertical="center"/>
    </xf>
    <xf numFmtId="42" fontId="0" fillId="0" borderId="0" applyAlignment="1">
      <alignment vertical="center"/>
    </xf>
    <xf numFmtId="0" fontId="5" fillId="11" borderId="0" applyAlignment="1">
      <alignment vertical="center"/>
    </xf>
    <xf numFmtId="43" fontId="0" fillId="0" borderId="0" applyAlignment="1">
      <alignment vertical="center"/>
    </xf>
    <xf numFmtId="0" fontId="11" fillId="0" borderId="0" applyAlignment="1">
      <alignment vertical="center"/>
    </xf>
    <xf numFmtId="0" fontId="9" fillId="0" borderId="0" applyAlignment="1">
      <alignment vertical="center"/>
    </xf>
    <xf numFmtId="0" fontId="5" fillId="7" borderId="0" applyAlignment="1">
      <alignment vertical="center"/>
    </xf>
    <xf numFmtId="0" fontId="8" fillId="0" borderId="0" applyAlignment="1">
      <alignment vertical="center"/>
    </xf>
    <xf numFmtId="0" fontId="7" fillId="6" borderId="0" applyAlignment="1">
      <alignment vertical="center"/>
    </xf>
    <xf numFmtId="0" fontId="0" fillId="4" borderId="7" applyAlignment="1">
      <alignment vertical="center"/>
    </xf>
    <xf numFmtId="0" fontId="5" fillId="10" borderId="0" applyAlignment="1">
      <alignment vertical="center"/>
    </xf>
    <xf numFmtId="0" fontId="7" fillId="14" borderId="0" applyAlignment="1">
      <alignment vertical="center"/>
    </xf>
    <xf numFmtId="0" fontId="5" fillId="5" borderId="0" applyAlignment="1">
      <alignment vertical="center"/>
    </xf>
    <xf numFmtId="0" fontId="13" fillId="0" borderId="0" applyAlignment="1">
      <alignment vertical="center"/>
    </xf>
    <xf numFmtId="41" fontId="0" fillId="0" borderId="0" applyAlignment="1">
      <alignment vertical="center"/>
    </xf>
    <xf numFmtId="0" fontId="12" fillId="0" borderId="10" applyAlignment="1">
      <alignment vertical="center"/>
    </xf>
    <xf numFmtId="0" fontId="5" fillId="3" borderId="0" applyAlignment="1">
      <alignment vertical="center"/>
    </xf>
    <xf numFmtId="0" fontId="6" fillId="0" borderId="8" applyAlignment="1">
      <alignment vertical="center"/>
    </xf>
    <xf numFmtId="0" fontId="7" fillId="22" borderId="0" applyAlignment="1">
      <alignment vertical="center"/>
    </xf>
    <xf numFmtId="0" fontId="5" fillId="3" borderId="0" applyAlignment="1">
      <alignment vertical="center"/>
    </xf>
    <xf numFmtId="0" fontId="23" fillId="0" borderId="15" applyAlignment="1">
      <alignment vertical="center"/>
    </xf>
  </cellStyleXfs>
  <cellXfs count="3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horizontal="center" vertical="center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1" fillId="2" borderId="1" applyAlignment="1" applyProtection="1" pivotButton="0" quotePrefix="0" xfId="0">
      <alignment horizontal="center" vertical="center"/>
      <protection locked="0" hidden="0"/>
    </xf>
    <xf numFmtId="0" fontId="1" fillId="0" borderId="6" applyAlignment="1" applyProtection="1" pivotButton="0" quotePrefix="0" xfId="0">
      <alignment horizontal="center" vertical="center"/>
      <protection locked="0" hidden="0"/>
    </xf>
    <xf numFmtId="0" fontId="2" fillId="2" borderId="1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justify" vertical="center"/>
    </xf>
    <xf numFmtId="0" fontId="0" fillId="0" borderId="0" pivotButton="0" quotePrefix="0" xfId="0"/>
    <xf numFmtId="0" fontId="0" fillId="0" borderId="18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5" pivotButton="0" quotePrefix="0" xfId="0"/>
    <xf numFmtId="164" fontId="2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</cellXfs>
  <cellStyles count="50">
    <cellStyle name="常规" xfId="0" builtinId="0"/>
    <cellStyle name="常规 2" xfId="1"/>
    <cellStyle name="60% - 强调文字颜色 6" xfId="2" builtinId="52"/>
    <cellStyle name="20% - 强调文字颜色 4" xfId="3" builtinId="42"/>
    <cellStyle name="强调文字颜色 4" xfId="4" builtinId="41"/>
    <cellStyle name="输入" xfId="5" builtinId="20"/>
    <cellStyle name="40% - 强调文字颜色 3" xfId="6" builtinId="39"/>
    <cellStyle name="20% - 强调文字颜色 3" xfId="7" builtinId="38"/>
    <cellStyle name="货币" xfId="8" builtinId="4"/>
    <cellStyle name="强调文字颜色 3" xfId="9" builtinId="37"/>
    <cellStyle name="百分比" xfId="10" builtinId="5"/>
    <cellStyle name="60% - 强调文字颜色 2" xfId="11" builtinId="36"/>
    <cellStyle name="60% - 强调文字颜色 5" xfId="12" builtinId="48"/>
    <cellStyle name="强调文字颜色 2" xfId="13" builtinId="33"/>
    <cellStyle name="60% - 强调文字颜色 1" xfId="14" builtinId="32"/>
    <cellStyle name="60% - 强调文字颜色 4" xfId="15" builtinId="44"/>
    <cellStyle name="计算" xfId="16" builtinId="22"/>
    <cellStyle name="强调文字颜色 1" xfId="17" builtinId="29"/>
    <cellStyle name="适中" xfId="18" builtinId="28"/>
    <cellStyle name="20% - 强调文字颜色 5" xfId="19" builtinId="46"/>
    <cellStyle name="好" xfId="20" builtinId="26"/>
    <cellStyle name="20% - 强调文字颜色 1" xfId="21" builtinId="30"/>
    <cellStyle name="汇总" xfId="22" builtinId="25"/>
    <cellStyle name="差" xfId="23" builtinId="27"/>
    <cellStyle name="检查单元格" xfId="24" builtinId="23"/>
    <cellStyle name="输出" xfId="25" builtinId="21"/>
    <cellStyle name="标题 1" xfId="26" builtinId="16"/>
    <cellStyle name="解释性文本" xfId="27" builtinId="53"/>
    <cellStyle name="20% - 强调文字颜色 2" xfId="28" builtinId="34"/>
    <cellStyle name="标题 4" xfId="29" builtinId="19"/>
    <cellStyle name="货币[0]" xfId="30" builtinId="7"/>
    <cellStyle name="40% - 强调文字颜色 4" xfId="31" builtinId="43"/>
    <cellStyle name="千位分隔" xfId="32" builtinId="3"/>
    <cellStyle name="已访问的超链接" xfId="33" builtinId="9"/>
    <cellStyle name="标题" xfId="34" builtinId="15"/>
    <cellStyle name="40% - 强调文字颜色 2" xfId="35" builtinId="35"/>
    <cellStyle name="警告文本" xfId="36" builtinId="11"/>
    <cellStyle name="60% - 强调文字颜色 3" xfId="37" builtinId="40"/>
    <cellStyle name="注释" xfId="38" builtinId="10"/>
    <cellStyle name="20% - 强调文字颜色 6" xfId="39" builtinId="50"/>
    <cellStyle name="强调文字颜色 5" xfId="40" builtinId="45"/>
    <cellStyle name="40% - 强调文字颜色 6" xfId="41" builtinId="51"/>
    <cellStyle name="超链接" xfId="42" builtinId="8"/>
    <cellStyle name="千位分隔[0]" xfId="43" builtinId="6"/>
    <cellStyle name="标题 2" xfId="44" builtinId="17"/>
    <cellStyle name="40% - 强调文字颜色 5" xfId="45" builtinId="47"/>
    <cellStyle name="标题 3" xfId="46" builtinId="18"/>
    <cellStyle name="强调文字颜色 6" xfId="47" builtinId="49"/>
    <cellStyle name="40% - 强调文字颜色 1" xfId="48" builtinId="31"/>
    <cellStyle name="链接单元格" xfId="49" builtinId="2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showGridLines="0" tabSelected="1" zoomScaleSheetLayoutView="60" workbookViewId="0">
      <selection activeCell="K18" sqref="K18"/>
    </sheetView>
  </sheetViews>
  <sheetFormatPr baseColWidth="8" defaultColWidth="9" defaultRowHeight="19.8"/>
  <cols>
    <col width="5.5" customWidth="1" style="22" min="1" max="1"/>
    <col width="10.3787878787879" customWidth="1" style="22" min="2" max="2"/>
    <col hidden="1" width="7.62878787878788" customWidth="1" style="22" min="3" max="8"/>
    <col hidden="1" width="12.4166666666667" customWidth="1" style="3" min="9" max="9"/>
    <col hidden="1" width="12.3787878787879" customWidth="1" style="22" min="10" max="10"/>
    <col width="10.25" customWidth="1" style="22" min="11" max="11"/>
    <col width="9" customWidth="1" style="22" min="12" max="12"/>
    <col width="9" customWidth="1" style="22" min="13" max="16384"/>
  </cols>
  <sheetData>
    <row r="1" ht="24" customHeight="1" s="27">
      <c r="A1" s="5" t="inlineStr">
        <is>
          <t>XX学校 学期 班级成绩登记表（模板）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9" t="n"/>
    </row>
    <row r="2" ht="13" customHeight="1" s="27">
      <c r="A2" s="7" t="inlineStr">
        <is>
          <t>序号</t>
        </is>
      </c>
      <c r="B2" s="7" t="inlineStr">
        <is>
          <t>姓名</t>
        </is>
      </c>
      <c r="C2" s="7" t="inlineStr">
        <is>
          <t>第一单元</t>
        </is>
      </c>
      <c r="D2" s="7" t="inlineStr">
        <is>
          <t>第二单元</t>
        </is>
      </c>
      <c r="E2" s="7" t="inlineStr">
        <is>
          <t>第三单元</t>
        </is>
      </c>
      <c r="F2" s="7" t="inlineStr">
        <is>
          <t>第四单元</t>
        </is>
      </c>
      <c r="G2" s="7" t="inlineStr">
        <is>
          <t>第五单元</t>
        </is>
      </c>
      <c r="H2" s="7" t="inlineStr">
        <is>
          <t>第六单元</t>
        </is>
      </c>
      <c r="I2" s="18" t="inlineStr">
        <is>
          <t>期中考试</t>
        </is>
      </c>
      <c r="J2" s="7" t="inlineStr">
        <is>
          <t>期末考试</t>
        </is>
      </c>
      <c r="K2" s="19" t="inlineStr">
        <is>
          <t>第一单元</t>
        </is>
      </c>
      <c r="M2" s="22" t="n"/>
    </row>
    <row r="3" ht="19" customHeight="1" s="27">
      <c r="A3" s="8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>
        <v>82</v>
      </c>
      <c r="M3" s="23" t="n"/>
    </row>
    <row r="4" ht="17.1" customHeight="1" s="27">
      <c r="A4" s="8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>
        <v>57</v>
      </c>
      <c r="M4" s="23" t="n"/>
    </row>
    <row r="5" ht="17.1" customHeight="1" s="27">
      <c r="A5" s="10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>
        <v>89.5</v>
      </c>
      <c r="M5" s="23" t="n"/>
    </row>
    <row r="6" ht="17.1" customHeight="1" s="27">
      <c r="A6" s="8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>
        <v>87.5</v>
      </c>
      <c r="M6" s="23" t="n"/>
    </row>
    <row r="7" ht="17.1" customHeight="1" s="27">
      <c r="A7" s="8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>
        <v>86.5</v>
      </c>
      <c r="M7" s="23" t="n"/>
    </row>
    <row r="8" ht="17.1" customHeight="1" s="27">
      <c r="A8" s="8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>
        <v>75.5</v>
      </c>
      <c r="M8" s="23" t="n"/>
    </row>
    <row r="9" ht="17.1" customHeight="1" s="27">
      <c r="A9" s="8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>
        <v>72</v>
      </c>
      <c r="M9" s="23" t="n"/>
    </row>
    <row r="10" ht="17.1" customHeight="1" s="27">
      <c r="A10" s="8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>
        <v>96</v>
      </c>
      <c r="M10" s="23" t="n"/>
    </row>
    <row r="11" ht="17.1" customHeight="1" s="27">
      <c r="A11" s="8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>
        <v>90</v>
      </c>
      <c r="M11" s="23" t="n"/>
    </row>
    <row r="12" ht="17.1" customHeight="1" s="27">
      <c r="A12" s="8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>
        <v>98</v>
      </c>
      <c r="M12" s="25" t="n"/>
    </row>
    <row r="13" ht="17.1" customHeight="1" s="27">
      <c r="A13" s="8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>
        <v>93.5</v>
      </c>
      <c r="M13" s="23" t="n"/>
    </row>
    <row r="14" ht="17.1" customHeight="1" s="27">
      <c r="A14" s="8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>
        <v>85</v>
      </c>
      <c r="M14" s="23" t="n"/>
    </row>
    <row r="15" ht="17.1" customHeight="1" s="27">
      <c r="A15" s="8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>
        <v>82</v>
      </c>
      <c r="M15" s="23" t="n"/>
    </row>
    <row r="16" ht="17.1" customHeight="1" s="27">
      <c r="A16" s="8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>
        <v>71.5</v>
      </c>
      <c r="M16" s="23" t="n"/>
    </row>
    <row r="17" ht="17.1" customHeight="1" s="27">
      <c r="A17" s="8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>
        <v>95.5</v>
      </c>
      <c r="M17" s="23" t="n"/>
    </row>
    <row r="18" ht="17.1" customHeight="1" s="27">
      <c r="A18" s="8" t="n"/>
      <c r="B18" s="9" t="n"/>
      <c r="C18" s="12" t="n"/>
      <c r="D18" s="9" t="n"/>
      <c r="E18" s="12" t="n"/>
      <c r="F18" s="9" t="n"/>
      <c r="G18" s="12" t="n"/>
      <c r="H18" s="9" t="n"/>
      <c r="I18" s="12" t="n"/>
      <c r="J18" s="9" t="n"/>
      <c r="K18" s="11" t="n">
        <v>32</v>
      </c>
      <c r="M18" s="23" t="n"/>
    </row>
    <row r="19" ht="17.1" customHeight="1" s="27">
      <c r="A19" s="8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>
        <v>88</v>
      </c>
      <c r="M19" s="25" t="n"/>
    </row>
    <row r="20" ht="17.1" customHeight="1" s="27">
      <c r="A20" s="8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>
        <v>62</v>
      </c>
      <c r="M20" s="23" t="n"/>
    </row>
    <row r="21" ht="17.1" customHeight="1" s="27">
      <c r="A21" s="8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>
        <v>98.5</v>
      </c>
      <c r="M21" s="23" t="n"/>
    </row>
    <row r="22" ht="17.1" customHeight="1" s="27">
      <c r="A22" s="8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>
        <v>65</v>
      </c>
      <c r="M22" s="25" t="n"/>
    </row>
    <row r="23" ht="17.1" customHeight="1" s="27">
      <c r="A23" s="8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>
        <v>95</v>
      </c>
      <c r="M23" s="23" t="n"/>
    </row>
    <row r="24" ht="17.1" customHeight="1" s="27">
      <c r="A24" s="8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>
        <v>91.5</v>
      </c>
      <c r="M24" s="23" t="n"/>
    </row>
    <row r="25" ht="17.1" customHeight="1" s="27">
      <c r="A25" s="8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>
        <v>93</v>
      </c>
      <c r="M25" s="23" t="n"/>
    </row>
    <row r="26" ht="17.1" customHeight="1" s="27">
      <c r="A26" s="8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>
        <v>78</v>
      </c>
      <c r="M26" s="25" t="n"/>
    </row>
    <row r="27" ht="17.1" customHeight="1" s="27">
      <c r="A27" s="8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>
        <v>80</v>
      </c>
      <c r="M27" s="23" t="n"/>
    </row>
    <row r="28" ht="17.1" customHeight="1" s="27">
      <c r="A28" s="8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>
        <v>68.5</v>
      </c>
      <c r="M28" s="23" t="n"/>
    </row>
    <row r="29" ht="17.1" customHeight="1" s="27">
      <c r="A29" s="8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>
        <v>79</v>
      </c>
      <c r="M29" s="23" t="n"/>
    </row>
    <row r="30" ht="17.1" customHeight="1" s="27">
      <c r="A30" s="8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>
        <v>95.5</v>
      </c>
      <c r="M30" s="23" t="n"/>
      <c r="N30" s="26" t="n"/>
    </row>
    <row r="31" ht="17.1" customHeight="1" s="27">
      <c r="A31" s="8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>
        <v>92</v>
      </c>
      <c r="M31" s="23" t="n"/>
    </row>
    <row r="32" ht="17.1" customHeight="1" s="27">
      <c r="A32" s="8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>
        <v>100</v>
      </c>
      <c r="M32" s="23" t="n"/>
    </row>
    <row r="33" ht="17.1" customHeight="1" s="27">
      <c r="A33" s="8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>
        <v>98.5</v>
      </c>
      <c r="M33" s="23" t="n"/>
    </row>
    <row r="34" ht="17.1" customHeight="1" s="27">
      <c r="A34" s="8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>
        <v>60</v>
      </c>
      <c r="M34" s="23" t="n"/>
    </row>
    <row r="35" ht="17.1" customHeight="1" s="27">
      <c r="A35" s="8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>
        <v>80</v>
      </c>
      <c r="M35" s="25" t="n"/>
    </row>
    <row r="36" ht="17.1" customHeight="1" s="27">
      <c r="A36" s="8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>
        <v>87</v>
      </c>
      <c r="M36" s="23" t="n"/>
    </row>
    <row r="37" ht="17.1" customHeight="1" s="27">
      <c r="A37" s="8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>
        <v>97.5</v>
      </c>
      <c r="M37" s="23" t="n"/>
    </row>
    <row r="38" ht="17.1" customHeight="1" s="27">
      <c r="A38" s="8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>
        <v>85</v>
      </c>
      <c r="M38" s="23" t="n"/>
    </row>
    <row r="39" ht="17.1" customHeight="1" s="27">
      <c r="A39" s="8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>
        <v>96</v>
      </c>
      <c r="M39" s="25" t="n"/>
    </row>
    <row r="40" ht="17.1" customHeight="1" s="27">
      <c r="A40" s="8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>
        <v>100</v>
      </c>
      <c r="M40" s="23" t="n"/>
    </row>
    <row r="41" ht="17.1" customHeight="1" s="27">
      <c r="A41" s="8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>
        <v>72</v>
      </c>
      <c r="M41" s="23" t="n"/>
    </row>
    <row r="42" ht="17.1" customHeight="1" s="27">
      <c r="A42" s="8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inlineStr">
        <is>
          <t>请假</t>
        </is>
      </c>
      <c r="M42" s="23" t="n"/>
    </row>
    <row r="43" ht="17.1" customHeight="1" s="27">
      <c r="A43" s="8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>
        <v>70.5</v>
      </c>
      <c r="M43" s="23" t="n"/>
    </row>
    <row r="44" ht="17.1" customHeight="1" s="27">
      <c r="A44" s="8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>
        <v>74</v>
      </c>
      <c r="M44" s="23" t="n"/>
    </row>
    <row r="45" ht="17.1" customHeight="1" s="27">
      <c r="A45" s="8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>
        <v>68</v>
      </c>
      <c r="M45" s="23" t="n"/>
    </row>
    <row r="46" ht="17.1" customHeight="1" s="27">
      <c r="A46" s="8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>
        <v>65</v>
      </c>
      <c r="M46" s="23" t="n"/>
    </row>
    <row r="47" ht="17.1" customHeight="1" s="27">
      <c r="A47" s="8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inlineStr">
        <is>
          <t>请假</t>
        </is>
      </c>
      <c r="M47" s="23" t="n"/>
    </row>
    <row r="48" ht="17.1" customHeight="1" s="27">
      <c r="A48" s="8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>
        <v>75.5</v>
      </c>
      <c r="M48" s="23" t="n"/>
    </row>
    <row r="49" ht="17.1" customHeight="1" s="27">
      <c r="A49" s="8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>
        <v>96</v>
      </c>
      <c r="M49" s="23" t="n"/>
    </row>
    <row r="50" ht="17.1" customHeight="1" s="27">
      <c r="A50" s="8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>
        <v>86</v>
      </c>
      <c r="M50" s="23" t="n"/>
    </row>
    <row r="51" ht="17.1" customHeight="1" s="27">
      <c r="A51" s="8" t="inlineStr">
        <is>
          <t>平均分</t>
        </is>
      </c>
      <c r="B51" s="30" t="n"/>
      <c r="C51" s="8">
        <f>AVERAGE(C3:C50)</f>
        <v/>
      </c>
      <c r="D51" s="8">
        <f>AVERAGE(D3:D46)</f>
        <v/>
      </c>
      <c r="E51" s="8">
        <f>AVERAGE(E3:E46)</f>
        <v/>
      </c>
      <c r="F51" s="8">
        <f>AVERAGE(F3:F46)</f>
        <v/>
      </c>
      <c r="G51" s="8">
        <f>AVERAGE(G3:G46)</f>
        <v/>
      </c>
      <c r="H51" s="8">
        <f>AVERAGE(H3:H46)</f>
        <v/>
      </c>
      <c r="I51" s="8">
        <f>AVERAGE(I3:I46)</f>
        <v/>
      </c>
      <c r="J51" s="20">
        <f>AVERAGE(J3:J50)</f>
        <v/>
      </c>
      <c r="K51" s="20">
        <f>AVERAGE(K3:K50)</f>
        <v/>
      </c>
      <c r="M51" s="23" t="n"/>
    </row>
    <row r="52" ht="17.1" customHeight="1" s="27">
      <c r="A52" s="8" t="inlineStr">
        <is>
          <t>合格率</t>
        </is>
      </c>
      <c r="B52" s="30" t="n"/>
      <c r="C52" s="31">
        <f>COUNTIF(C3:C50,"&gt;=60")/COUNT(C3:C46)</f>
        <v/>
      </c>
      <c r="D52" s="31">
        <f>COUNTIF(D3:D46,"&gt;=60")/COUNT(D3:D46)</f>
        <v/>
      </c>
      <c r="E52" s="31">
        <f>COUNTIF(E3:E46,"&gt;=60")/COUNT(E3:E46)</f>
        <v/>
      </c>
      <c r="F52" s="31">
        <f>COUNTIF(F3:F46,"&gt;=60")/COUNT(F3:F46)</f>
        <v/>
      </c>
      <c r="G52" s="31">
        <f>COUNTIF(G3:G46,"&gt;=60")/COUNT(G3:G46)</f>
        <v/>
      </c>
      <c r="H52" s="31">
        <f>COUNTIF(H3:H46,"&gt;=60")/COUNT(H3:H46)</f>
        <v/>
      </c>
      <c r="I52" s="31">
        <f>COUNTIF(I3:I46,"&gt;=60")/COUNT(I3:I46)</f>
        <v/>
      </c>
      <c r="J52" s="32">
        <f>COUNTIF(J3:J50,"&gt;=60")/COUNT(J3:J50)</f>
        <v/>
      </c>
      <c r="K52" s="32">
        <f>COUNTIF(K3:K50,"&gt;=60")/COUNT(K3:K50)</f>
        <v/>
      </c>
      <c r="M52" s="23" t="n"/>
    </row>
    <row r="53" ht="17.1" customHeight="1" s="27">
      <c r="A53" s="8" t="inlineStr">
        <is>
          <t>优秀率</t>
        </is>
      </c>
      <c r="B53" s="30" t="n"/>
      <c r="C53" s="31">
        <f>COUNTIF(C3:C50,"&gt;=85")/COUNT(C3:C46)</f>
        <v/>
      </c>
      <c r="D53" s="31">
        <f>COUNTIF(D3:D46,"&gt;=85")/COUNT(D3:D46)</f>
        <v/>
      </c>
      <c r="E53" s="31">
        <f>COUNTIF(E3:E46,"&gt;=85")/COUNT(E3:E46)</f>
        <v/>
      </c>
      <c r="F53" s="31">
        <f>COUNTIF(F3:F46,"&gt;=85")/COUNT(F3:F46)</f>
        <v/>
      </c>
      <c r="G53" s="31">
        <f>COUNTIF(G3:G46,"&gt;=85")/COUNT(G3:G46)</f>
        <v/>
      </c>
      <c r="H53" s="31">
        <f>COUNTIF(H3:H46,"&gt;=85")/COUNT(H3:H46)</f>
        <v/>
      </c>
      <c r="I53" s="31">
        <f>COUNTIF(I3:I46,"&gt;=85")/COUNT(I3:I46)</f>
        <v/>
      </c>
      <c r="J53" s="32">
        <f>COUNTIF(J3:J50,"&gt;=85")/COUNT(J3:J50)</f>
        <v/>
      </c>
      <c r="K53" s="32">
        <f>COUNTIF(K3:K50,"&gt;=85")/COUNT(K3:K50)</f>
        <v/>
      </c>
      <c r="M53" s="23" t="n"/>
    </row>
    <row r="54" ht="17.1" customHeight="1" s="27"/>
  </sheetData>
  <mergeCells count="4">
    <mergeCell ref="A1:K1"/>
    <mergeCell ref="A51:B51"/>
    <mergeCell ref="A53:B53"/>
    <mergeCell ref="A52:B52"/>
  </mergeCells>
  <printOptions horizontalCentered="1"/>
  <pageMargins left="0.55" right="0.55" top="0.59" bottom="0.59" header="0.51" footer="0.51"/>
  <pageSetup orientation="portrait" paperSize="8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rcxx</dc:creator>
  <dcterms:created xsi:type="dcterms:W3CDTF">2014-09-30T15:09:33Z</dcterms:created>
  <dcterms:modified xsi:type="dcterms:W3CDTF">2026-10-03T08:42:30Z</dcterms:modified>
  <cp:lastModifiedBy>jackson</cp:lastModifiedBy>
  <cp:revision>1</cp:revision>
  <cp:lastPrinted>2017-10-17T21:33:03Z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2052-11.1.0.11719</vt:lpwstr>
  </property>
  <property name="ICV" fmtid="{D5CDD505-2E9C-101B-9397-08002B2CF9AE}" pid="3">
    <vt:lpwstr/>
  </property>
  <property name="CalculationRule" fmtid="{D5CDD505-2E9C-101B-9397-08002B2CF9AE}" pid="4">
    <vt:r8>0</vt:r8>
  </property>
</Properties>
</file>